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  <sheet state="visible" name="Traceability Matrix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<sst xmlns="http://schemas.openxmlformats.org/spreadsheetml/2006/main" count="174" uniqueCount="114">
  <si>
    <t>ID</t>
  </si>
  <si>
    <t>Requirement ID</t>
  </si>
  <si>
    <t>Preconditions</t>
  </si>
  <si>
    <t>Title</t>
  </si>
  <si>
    <t>Module</t>
  </si>
  <si>
    <t>Priority</t>
  </si>
  <si>
    <t>Severity</t>
  </si>
  <si>
    <t>Steps</t>
  </si>
  <si>
    <t>Expected Result</t>
  </si>
  <si>
    <t>Actual Result</t>
  </si>
  <si>
    <t>Status</t>
  </si>
  <si>
    <t>TC01</t>
  </si>
  <si>
    <t>REQ01</t>
  </si>
  <si>
    <t>User is logged in and product is available</t>
  </si>
  <si>
    <t>Add to Cart</t>
  </si>
  <si>
    <t>Cart</t>
  </si>
  <si>
    <t>High</t>
  </si>
  <si>
    <t>Critical</t>
  </si>
  <si>
    <t>Add product to cart</t>
  </si>
  <si>
    <t>Product added</t>
  </si>
  <si>
    <t>Works correctly</t>
  </si>
  <si>
    <t>Pass</t>
  </si>
  <si>
    <t>TC02</t>
  </si>
  <si>
    <t>Product stock is 0</t>
  </si>
  <si>
    <t>Out of Stock</t>
  </si>
  <si>
    <t>Major</t>
  </si>
  <si>
    <t>Try to add out-of-stock product</t>
  </si>
  <si>
    <t>Error message shown</t>
  </si>
  <si>
    <t>Error displayed</t>
  </si>
  <si>
    <t>TC03</t>
  </si>
  <si>
    <t>REQ02</t>
  </si>
  <si>
    <t>User is on homepage</t>
  </si>
  <si>
    <t>Search Case</t>
  </si>
  <si>
    <t>Search</t>
  </si>
  <si>
    <t>Medium</t>
  </si>
  <si>
    <t>Minor</t>
  </si>
  <si>
    <t>Search laptop and LAPTOP</t>
  </si>
  <si>
    <t>Same results</t>
  </si>
  <si>
    <t>TC04</t>
  </si>
  <si>
    <t>REQ03</t>
  </si>
  <si>
    <t>User has items in cart</t>
  </si>
  <si>
    <t>Checkout Valid</t>
  </si>
  <si>
    <t>Checkout</t>
  </si>
  <si>
    <t>Complete checkout flow</t>
  </si>
  <si>
    <t>Order success</t>
  </si>
  <si>
    <t>Order placed</t>
  </si>
  <si>
    <t>TC05</t>
  </si>
  <si>
    <t>Checkout Double Click</t>
  </si>
  <si>
    <t>Click confirm multiple times</t>
  </si>
  <si>
    <t>One order created</t>
  </si>
  <si>
    <t>Multiple orders created</t>
  </si>
  <si>
    <t>Fail</t>
  </si>
  <si>
    <t>TC06</t>
  </si>
  <si>
    <t>REQ04</t>
  </si>
  <si>
    <t>User is logged in</t>
  </si>
  <si>
    <t>Session Timeout</t>
  </si>
  <si>
    <t>Security</t>
  </si>
  <si>
    <t>Wait 30 minutes</t>
  </si>
  <si>
    <t>User logged out</t>
  </si>
  <si>
    <t>Session still active</t>
  </si>
  <si>
    <t>TC07</t>
  </si>
  <si>
    <t>REQ05</t>
  </si>
  <si>
    <t>Application is open</t>
  </si>
  <si>
    <t>UI Responsive</t>
  </si>
  <si>
    <t>UI</t>
  </si>
  <si>
    <t>Low</t>
  </si>
  <si>
    <t>Resize screen</t>
  </si>
  <si>
    <t>UI adapts</t>
  </si>
  <si>
    <t>Works fine</t>
  </si>
  <si>
    <t>Bug ID</t>
  </si>
  <si>
    <t>Steps to Reproduce</t>
  </si>
  <si>
    <t>Assigned To</t>
  </si>
  <si>
    <t>BUG-001</t>
  </si>
  <si>
    <t>Duplicate Order Creation</t>
  </si>
  <si>
    <t>Open</t>
  </si>
  <si>
    <t>Dev Team</t>
  </si>
  <si>
    <t>BUG-002</t>
  </si>
  <si>
    <t>App Crash on Navigation</t>
  </si>
  <si>
    <t>In Progress</t>
  </si>
  <si>
    <t>Rapid navigation</t>
  </si>
  <si>
    <t>App stable</t>
  </si>
  <si>
    <t>App crashes</t>
  </si>
  <si>
    <t>BUG-003</t>
  </si>
  <si>
    <t>Offline Mode Issue</t>
  </si>
  <si>
    <t>Network</t>
  </si>
  <si>
    <t>Disable internet</t>
  </si>
  <si>
    <t>Error message</t>
  </si>
  <si>
    <t>No response</t>
  </si>
  <si>
    <t>QA Team</t>
  </si>
  <si>
    <t>BUG-004</t>
  </si>
  <si>
    <t>Session Not Expiring</t>
  </si>
  <si>
    <t>Wait 30+ minutes</t>
  </si>
  <si>
    <t>Session expires</t>
  </si>
  <si>
    <t>Security Team</t>
  </si>
  <si>
    <t>Description</t>
  </si>
  <si>
    <t>Test Cases</t>
  </si>
  <si>
    <t>Coverage</t>
  </si>
  <si>
    <t>Cart functionality</t>
  </si>
  <si>
    <t>TC01,TC02</t>
  </si>
  <si>
    <t>Full</t>
  </si>
  <si>
    <t>Covered</t>
  </si>
  <si>
    <t>Search functionality</t>
  </si>
  <si>
    <t>Checkout process</t>
  </si>
  <si>
    <t>TC04,TC05</t>
  </si>
  <si>
    <t>Issues Found</t>
  </si>
  <si>
    <t>Session management</t>
  </si>
  <si>
    <t>Partial</t>
  </si>
  <si>
    <t>UI responsiveness</t>
  </si>
  <si>
    <t>QA Dashboard</t>
  </si>
  <si>
    <t>Total Tests</t>
  </si>
  <si>
    <t>Passed</t>
  </si>
  <si>
    <t>Failed</t>
  </si>
  <si>
    <t>Not Run</t>
  </si>
  <si>
    <t>Pass Rate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</si>
</sst>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3" fontId="1" numFmtId="0" xfId="0" applyFill="1" applyFont="1"/>
    <xf borderId="0" fillId="4" fontId="3" numFmtId="0" xfId="0" applyFill="1" applyFont="1"/>
    <xf borderId="0" fillId="5" fontId="4" numFmtId="0" xfId="0" applyFill="1" applyFont="1"/>
    <xf borderId="0" fillId="5" fontId="3" numFmtId="0" xfId="0" applyFont="1"/>
    <xf borderId="0" fillId="6" fontId="3" numFmtId="0" xfId="0" applyFill="1" applyFont="1"/>
    <xf borderId="0" fillId="7" fontId="3" numFmtId="0" xfId="0" applyFill="1" applyFont="1"/>
    <xf borderId="1" fillId="8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36.57"/>
    <col customWidth="1" min="4" max="4" width="21.29"/>
    <col customWidth="1" min="5" max="5" width="11.43"/>
    <col customWidth="1" min="6" max="6" width="10.14"/>
    <col customWidth="1" min="7" max="7" width="10.29"/>
    <col customWidth="1" min="8" max="8" width="29.0"/>
    <col customWidth="1" min="9" max="9" width="20.71"/>
    <col customWidth="1" min="10" max="10" width="22.29"/>
    <col customWidth="1" min="11" max="11" width="9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</row>
    <row r="3">
      <c r="A3" s="2" t="s">
        <v>22</v>
      </c>
      <c r="B3" s="3" t="s">
        <v>12</v>
      </c>
      <c r="C3" s="3" t="s">
        <v>23</v>
      </c>
      <c r="D3" s="3" t="s">
        <v>24</v>
      </c>
      <c r="E3" s="3" t="s">
        <v>15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28</v>
      </c>
      <c r="K3" s="4" t="s">
        <v>21</v>
      </c>
    </row>
    <row r="4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20</v>
      </c>
      <c r="K4" s="4" t="s">
        <v>21</v>
      </c>
    </row>
    <row r="5">
      <c r="A5" s="2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16</v>
      </c>
      <c r="G5" s="3" t="s">
        <v>17</v>
      </c>
      <c r="H5" s="3" t="s">
        <v>43</v>
      </c>
      <c r="I5" s="3" t="s">
        <v>44</v>
      </c>
      <c r="J5" s="3" t="s">
        <v>45</v>
      </c>
      <c r="K5" s="4" t="s">
        <v>21</v>
      </c>
    </row>
    <row r="6">
      <c r="A6" s="2" t="s">
        <v>46</v>
      </c>
      <c r="B6" s="3" t="s">
        <v>39</v>
      </c>
      <c r="C6" s="3" t="s">
        <v>40</v>
      </c>
      <c r="D6" s="3" t="s">
        <v>47</v>
      </c>
      <c r="E6" s="3" t="s">
        <v>42</v>
      </c>
      <c r="F6" s="3" t="s">
        <v>16</v>
      </c>
      <c r="G6" s="3" t="s">
        <v>17</v>
      </c>
      <c r="H6" s="3" t="s">
        <v>48</v>
      </c>
      <c r="I6" s="3" t="s">
        <v>49</v>
      </c>
      <c r="J6" s="3" t="s">
        <v>50</v>
      </c>
      <c r="K6" s="5" t="s">
        <v>51</v>
      </c>
    </row>
    <row r="7">
      <c r="A7" s="2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34</v>
      </c>
      <c r="G7" s="3" t="s">
        <v>25</v>
      </c>
      <c r="H7" s="3" t="s">
        <v>57</v>
      </c>
      <c r="I7" s="3" t="s">
        <v>58</v>
      </c>
      <c r="J7" s="3" t="s">
        <v>59</v>
      </c>
      <c r="K7" s="5" t="s">
        <v>51</v>
      </c>
    </row>
    <row r="8">
      <c r="A8" s="2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35</v>
      </c>
      <c r="H8" s="3" t="s">
        <v>66</v>
      </c>
      <c r="I8" s="3" t="s">
        <v>67</v>
      </c>
      <c r="J8" s="3" t="s">
        <v>68</v>
      </c>
      <c r="K8" s="4" t="s">
        <v>21</v>
      </c>
    </row>
    <row r="9">
      <c r="K9" s="3"/>
    </row>
    <row r="10">
      <c r="K10" s="3"/>
    </row>
    <row r="11">
      <c r="K11" s="3"/>
    </row>
    <row r="12">
      <c r="K12" s="3"/>
    </row>
    <row r="13">
      <c r="K13" s="3"/>
    </row>
    <row r="14">
      <c r="K14" s="3"/>
    </row>
    <row r="15">
      <c r="K15" s="3"/>
    </row>
    <row r="16">
      <c r="K16" s="3"/>
    </row>
    <row r="17">
      <c r="K17" s="3"/>
    </row>
    <row r="18">
      <c r="K18" s="3"/>
    </row>
    <row r="19">
      <c r="K19" s="3"/>
    </row>
    <row r="20">
      <c r="K20" s="3"/>
    </row>
    <row r="21" ht="15.75" customHeight="1">
      <c r="K21" s="3"/>
    </row>
    <row r="22" ht="15.75" customHeight="1">
      <c r="K22" s="3"/>
    </row>
    <row r="23" ht="15.75" customHeight="1">
      <c r="K23" s="3"/>
    </row>
    <row r="24" ht="15.75" customHeight="1">
      <c r="K24" s="3"/>
    </row>
    <row r="25" ht="15.75" customHeight="1">
      <c r="K25" s="3"/>
    </row>
    <row r="26" ht="15.75" customHeight="1">
      <c r="K26" s="3"/>
    </row>
    <row r="27" ht="15.75" customHeight="1">
      <c r="K27" s="3"/>
    </row>
    <row r="28" ht="15.75" customHeight="1">
      <c r="K28" s="3"/>
    </row>
    <row r="29" ht="15.75" customHeight="1">
      <c r="K29" s="3"/>
    </row>
    <row r="30" ht="15.75" customHeight="1">
      <c r="K30" s="3"/>
    </row>
    <row r="31" ht="15.75" customHeight="1">
      <c r="K31" s="3"/>
    </row>
    <row r="32" ht="15.75" customHeight="1">
      <c r="K32" s="3"/>
    </row>
    <row r="33" ht="15.75" customHeight="1">
      <c r="K33" s="3"/>
    </row>
    <row r="34" ht="15.75" customHeight="1">
      <c r="K34" s="3"/>
    </row>
    <row r="35" ht="15.75" customHeight="1">
      <c r="K35" s="3"/>
    </row>
    <row r="36" ht="15.75" customHeight="1">
      <c r="K36" s="3"/>
    </row>
    <row r="37" ht="15.75" customHeight="1">
      <c r="K37" s="3"/>
    </row>
    <row r="38" ht="15.75" customHeight="1">
      <c r="K38" s="3"/>
    </row>
    <row r="39" ht="15.75" customHeight="1">
      <c r="K39" s="3"/>
    </row>
    <row r="40" ht="15.75" customHeight="1">
      <c r="K40" s="3"/>
    </row>
    <row r="41" ht="15.75" customHeight="1">
      <c r="K41" s="3"/>
    </row>
    <row r="42" ht="15.75" customHeight="1">
      <c r="K42" s="3"/>
    </row>
    <row r="43" ht="15.75" customHeight="1">
      <c r="K43" s="3"/>
    </row>
    <row r="44" ht="15.75" customHeight="1">
      <c r="K44" s="3"/>
    </row>
    <row r="45" ht="15.75" customHeight="1">
      <c r="K45" s="3"/>
    </row>
    <row r="46" ht="15.75" customHeight="1">
      <c r="K46" s="3"/>
    </row>
    <row r="47" ht="15.75" customHeight="1">
      <c r="K47" s="3"/>
    </row>
    <row r="48" ht="15.75" customHeight="1">
      <c r="K48" s="3"/>
    </row>
    <row r="49" ht="15.75" customHeight="1">
      <c r="K49" s="3"/>
    </row>
    <row r="50" ht="15.75" customHeight="1">
      <c r="K50" s="3"/>
    </row>
    <row r="51" ht="15.75" customHeight="1">
      <c r="K51" s="3"/>
    </row>
    <row r="52" ht="15.75" customHeight="1">
      <c r="K52" s="3"/>
    </row>
    <row r="53" ht="15.75" customHeight="1">
      <c r="K53" s="3"/>
    </row>
    <row r="54" ht="15.75" customHeight="1">
      <c r="K54" s="3"/>
    </row>
    <row r="55" ht="15.75" customHeight="1">
      <c r="K55" s="3"/>
    </row>
    <row r="56" ht="15.75" customHeight="1">
      <c r="K56" s="3"/>
    </row>
    <row r="57" ht="15.75" customHeight="1">
      <c r="K57" s="3"/>
    </row>
    <row r="58" ht="15.75" customHeight="1">
      <c r="K58" s="3"/>
    </row>
    <row r="59" ht="15.75" customHeight="1">
      <c r="K59" s="3"/>
    </row>
    <row r="60" ht="15.75" customHeight="1">
      <c r="K60" s="3"/>
    </row>
    <row r="61" ht="15.75" customHeight="1">
      <c r="K61" s="3"/>
    </row>
    <row r="62" ht="15.75" customHeight="1">
      <c r="K62" s="3"/>
    </row>
    <row r="63" ht="15.75" customHeight="1">
      <c r="K63" s="3"/>
    </row>
    <row r="64" ht="15.75" customHeight="1">
      <c r="K64" s="3"/>
    </row>
    <row r="65" ht="15.75" customHeight="1">
      <c r="K65" s="3"/>
    </row>
    <row r="66" ht="15.75" customHeight="1">
      <c r="K66" s="3"/>
    </row>
    <row r="67" ht="15.75" customHeight="1">
      <c r="K67" s="3"/>
    </row>
    <row r="68" ht="15.75" customHeight="1">
      <c r="K68" s="3"/>
    </row>
    <row r="69" ht="15.75" customHeight="1">
      <c r="K69" s="3"/>
    </row>
    <row r="70" ht="15.75" customHeight="1">
      <c r="K70" s="3"/>
    </row>
    <row r="71" ht="15.75" customHeight="1">
      <c r="K71" s="3"/>
    </row>
    <row r="72" ht="15.75" customHeight="1">
      <c r="K72" s="3"/>
    </row>
    <row r="73" ht="15.75" customHeight="1">
      <c r="K73" s="3"/>
    </row>
    <row r="74" ht="15.75" customHeight="1">
      <c r="K74" s="3"/>
    </row>
    <row r="75" ht="15.75" customHeight="1">
      <c r="K75" s="3"/>
    </row>
    <row r="76" ht="15.75" customHeight="1">
      <c r="K76" s="3"/>
    </row>
    <row r="77" ht="15.75" customHeight="1">
      <c r="K77" s="3"/>
    </row>
    <row r="78" ht="15.75" customHeight="1">
      <c r="K78" s="3"/>
    </row>
    <row r="79" ht="15.75" customHeight="1">
      <c r="K79" s="3"/>
    </row>
    <row r="80" ht="15.75" customHeight="1">
      <c r="K80" s="3"/>
    </row>
    <row r="81" ht="15.75" customHeight="1">
      <c r="K81" s="3"/>
    </row>
    <row r="82" ht="15.75" customHeight="1">
      <c r="K82" s="3"/>
    </row>
    <row r="83" ht="15.75" customHeight="1">
      <c r="K83" s="3"/>
    </row>
    <row r="84" ht="15.75" customHeight="1">
      <c r="K84" s="3"/>
    </row>
    <row r="85" ht="15.75" customHeight="1">
      <c r="K85" s="3"/>
    </row>
    <row r="86" ht="15.75" customHeight="1">
      <c r="K86" s="3"/>
    </row>
    <row r="87" ht="15.75" customHeight="1">
      <c r="K87" s="3"/>
    </row>
    <row r="88" ht="15.75" customHeight="1">
      <c r="K88" s="3"/>
    </row>
    <row r="89" ht="15.75" customHeight="1">
      <c r="K89" s="3"/>
    </row>
    <row r="90" ht="15.75" customHeight="1">
      <c r="K90" s="3"/>
    </row>
    <row r="91" ht="15.75" customHeight="1">
      <c r="K91" s="3"/>
    </row>
    <row r="92" ht="15.75" customHeight="1">
      <c r="K92" s="3"/>
    </row>
    <row r="93" ht="15.75" customHeight="1">
      <c r="K93" s="3"/>
    </row>
    <row r="94" ht="15.75" customHeight="1">
      <c r="K94" s="3"/>
    </row>
    <row r="95" ht="15.75" customHeight="1">
      <c r="K95" s="3"/>
    </row>
    <row r="96" ht="15.75" customHeight="1">
      <c r="K96" s="3"/>
    </row>
    <row r="97" ht="15.75" customHeight="1">
      <c r="K97" s="3"/>
    </row>
    <row r="98" ht="15.75" customHeight="1">
      <c r="K98" s="3"/>
    </row>
    <row r="99" ht="15.75" customHeight="1">
      <c r="K99" s="3"/>
    </row>
    <row r="100" ht="15.75" customHeight="1">
      <c r="K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2:K100">
      <formula1>"Not Run,Pass,Fail"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4.0"/>
    <col customWidth="1" min="3" max="3" width="11.14"/>
    <col customWidth="1" min="4" max="4" width="10.0"/>
    <col customWidth="1" min="5" max="5" width="9.0"/>
    <col customWidth="1" min="6" max="6" width="11.71"/>
    <col customWidth="1" min="7" max="7" width="25.86"/>
    <col customWidth="1" min="8" max="8" width="19.43"/>
    <col customWidth="1" min="9" max="9" width="23.0"/>
    <col customWidth="1" min="10" max="10" width="17.86"/>
    <col customWidth="1" min="11" max="26" width="8.71"/>
  </cols>
  <sheetData>
    <row r="1">
      <c r="A1" s="1" t="s">
        <v>69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10</v>
      </c>
      <c r="G1" s="1" t="s">
        <v>70</v>
      </c>
      <c r="H1" s="1" t="s">
        <v>8</v>
      </c>
      <c r="I1" s="1" t="s">
        <v>9</v>
      </c>
      <c r="J1" s="1" t="s">
        <v>71</v>
      </c>
    </row>
    <row r="2">
      <c r="A2" s="2" t="s">
        <v>72</v>
      </c>
      <c r="B2" s="3" t="s">
        <v>73</v>
      </c>
      <c r="C2" s="3" t="s">
        <v>42</v>
      </c>
      <c r="D2" s="3" t="s">
        <v>17</v>
      </c>
      <c r="E2" s="3" t="s">
        <v>16</v>
      </c>
      <c r="F2" s="3" t="s">
        <v>74</v>
      </c>
      <c r="G2" s="3" t="s">
        <v>48</v>
      </c>
      <c r="H2" s="3" t="s">
        <v>49</v>
      </c>
      <c r="I2" s="3" t="s">
        <v>50</v>
      </c>
      <c r="J2" s="3" t="s">
        <v>75</v>
      </c>
    </row>
    <row r="3">
      <c r="A3" s="2" t="s">
        <v>76</v>
      </c>
      <c r="B3" s="3" t="s">
        <v>77</v>
      </c>
      <c r="C3" s="3" t="s">
        <v>64</v>
      </c>
      <c r="D3" s="3" t="s">
        <v>16</v>
      </c>
      <c r="E3" s="3" t="s">
        <v>16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75</v>
      </c>
    </row>
    <row r="4">
      <c r="A4" s="2" t="s">
        <v>82</v>
      </c>
      <c r="B4" s="3" t="s">
        <v>83</v>
      </c>
      <c r="C4" s="3" t="s">
        <v>84</v>
      </c>
      <c r="D4" s="3" t="s">
        <v>25</v>
      </c>
      <c r="E4" s="3" t="s">
        <v>16</v>
      </c>
      <c r="F4" s="3" t="s">
        <v>74</v>
      </c>
      <c r="G4" s="3" t="s">
        <v>85</v>
      </c>
      <c r="H4" s="3" t="s">
        <v>86</v>
      </c>
      <c r="I4" s="3" t="s">
        <v>87</v>
      </c>
      <c r="J4" s="3" t="s">
        <v>88</v>
      </c>
    </row>
    <row r="5">
      <c r="A5" s="2" t="s">
        <v>89</v>
      </c>
      <c r="B5" s="3" t="s">
        <v>90</v>
      </c>
      <c r="C5" s="3" t="s">
        <v>56</v>
      </c>
      <c r="D5" s="3" t="s">
        <v>17</v>
      </c>
      <c r="E5" s="3" t="s">
        <v>16</v>
      </c>
      <c r="F5" s="3" t="s">
        <v>74</v>
      </c>
      <c r="G5" s="3" t="s">
        <v>91</v>
      </c>
      <c r="H5" s="3" t="s">
        <v>92</v>
      </c>
      <c r="I5" s="3" t="s">
        <v>59</v>
      </c>
      <c r="J5" s="3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2.43"/>
    <col customWidth="1" min="3" max="3" width="13.14"/>
    <col customWidth="1" min="4" max="4" width="10.57"/>
    <col customWidth="1" min="5" max="5" width="12.71"/>
    <col customWidth="1" min="6" max="26" width="8.71"/>
  </cols>
  <sheetData>
    <row r="1">
      <c r="A1" s="1" t="s">
        <v>1</v>
      </c>
      <c r="B1" s="1" t="s">
        <v>94</v>
      </c>
      <c r="C1" s="1" t="s">
        <v>95</v>
      </c>
      <c r="D1" s="1" t="s">
        <v>96</v>
      </c>
      <c r="E1" s="1" t="s">
        <v>10</v>
      </c>
    </row>
    <row r="2">
      <c r="A2" s="2" t="s">
        <v>12</v>
      </c>
      <c r="B2" s="3" t="s">
        <v>97</v>
      </c>
      <c r="C2" s="3" t="s">
        <v>98</v>
      </c>
      <c r="D2" s="3" t="s">
        <v>99</v>
      </c>
      <c r="E2" s="3" t="s">
        <v>100</v>
      </c>
    </row>
    <row r="3">
      <c r="A3" s="2" t="s">
        <v>30</v>
      </c>
      <c r="B3" s="3" t="s">
        <v>101</v>
      </c>
      <c r="C3" s="3" t="s">
        <v>29</v>
      </c>
      <c r="D3" s="3" t="s">
        <v>99</v>
      </c>
      <c r="E3" s="3" t="s">
        <v>100</v>
      </c>
    </row>
    <row r="4">
      <c r="A4" s="2" t="s">
        <v>39</v>
      </c>
      <c r="B4" s="3" t="s">
        <v>102</v>
      </c>
      <c r="C4" s="3" t="s">
        <v>103</v>
      </c>
      <c r="D4" s="3" t="s">
        <v>99</v>
      </c>
      <c r="E4" s="3" t="s">
        <v>104</v>
      </c>
    </row>
    <row r="5">
      <c r="A5" s="2" t="s">
        <v>53</v>
      </c>
      <c r="B5" s="3" t="s">
        <v>105</v>
      </c>
      <c r="C5" s="3" t="s">
        <v>52</v>
      </c>
      <c r="D5" s="3" t="s">
        <v>106</v>
      </c>
      <c r="E5" s="3" t="s">
        <v>104</v>
      </c>
    </row>
    <row r="6">
      <c r="A6" s="2" t="s">
        <v>61</v>
      </c>
      <c r="B6" s="3" t="s">
        <v>107</v>
      </c>
      <c r="C6" s="3" t="s">
        <v>60</v>
      </c>
      <c r="D6" s="3" t="s">
        <v>99</v>
      </c>
      <c r="E6" s="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86"/>
    <col customWidth="1" min="3" max="26" width="8.71"/>
  </cols>
  <sheetData>
    <row r="1">
      <c r="A1" s="6" t="s">
        <v>108</v>
      </c>
      <c r="B1" s="7"/>
    </row>
    <row r="3">
      <c r="A3" s="8" t="s">
        <v>109</v>
      </c>
      <c r="B3" s="8">
        <f>COUNTA('Test Cases'!A2:A100)</f>
        <v>7</v>
      </c>
    </row>
    <row r="4">
      <c r="A4" s="4" t="s">
        <v>110</v>
      </c>
      <c r="B4" s="4">
        <f>COUNTIF('Test Cases'!K2:K100,"Pass")</f>
        <v>5</v>
      </c>
    </row>
    <row r="5">
      <c r="A5" s="5" t="s">
        <v>111</v>
      </c>
      <c r="B5" s="5">
        <f>COUNTIF('Test Cases'!K2:K100,"Fail")</f>
        <v>2</v>
      </c>
    </row>
    <row r="6">
      <c r="A6" s="9" t="s">
        <v>112</v>
      </c>
      <c r="B6" s="9">
        <f>COUNTIF('Test Cases'!K2:K100,"Not Run")</f>
        <v>0</v>
      </c>
    </row>
    <row r="8">
      <c r="A8" s="10" t="s">
        <v>113</v>
      </c>
      <c r="B8" s="10">
        <f>IF(B3=0,0,B4/B3)</f>
        <v>0.7142857143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